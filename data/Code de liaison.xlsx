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a440201825a8a78/Documents/Projet/Modelisys/Logiciel SaaS/Dossier trial/BV historique/"/>
    </mc:Choice>
  </mc:AlternateContent>
  <xr:revisionPtr revIDLastSave="89" documentId="8_{3731997F-29A5-4A2D-AE89-AD9DD7937EDF}" xr6:coauthVersionLast="47" xr6:coauthVersionMax="47" xr10:uidLastSave="{A188DAAB-4BDD-4A30-BF33-363102DBFBE8}"/>
  <bookViews>
    <workbookView xWindow="-108" yWindow="-108" windowWidth="23256" windowHeight="12456" activeTab="1" xr2:uid="{00000000-000D-0000-FFFF-FFFF00000000}"/>
  </bookViews>
  <sheets>
    <sheet name="BV" sheetId="1" r:id="rId1"/>
    <sheet name="Inf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 a="1"/>
  <c r="B4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<sst xmlns="http://schemas.openxmlformats.org/spreadsheetml/2006/main" count="458" uniqueCount="209">
  <si>
    <t>Caisse populaire</t>
  </si>
  <si>
    <t>A</t>
  </si>
  <si>
    <t>Encaisse</t>
  </si>
  <si>
    <t>Caisse populaire part sociale</t>
  </si>
  <si>
    <t>Caisse populaire ajustement</t>
  </si>
  <si>
    <t>Compte RBC</t>
  </si>
  <si>
    <t>Caisse</t>
  </si>
  <si>
    <t>Placements à court terme</t>
  </si>
  <si>
    <t>Comptes clients</t>
  </si>
  <si>
    <t>C</t>
  </si>
  <si>
    <t>Débiteurs</t>
  </si>
  <si>
    <t>Ajustement compte client</t>
  </si>
  <si>
    <t>Charges payées d'avance</t>
  </si>
  <si>
    <t>L</t>
  </si>
  <si>
    <t>Frais payés d'avance</t>
  </si>
  <si>
    <t>Autres créances</t>
  </si>
  <si>
    <t>Avances Patrice Archambault</t>
  </si>
  <si>
    <t>AV</t>
  </si>
  <si>
    <t>Avances</t>
  </si>
  <si>
    <t>Avances Denis Marois</t>
  </si>
  <si>
    <t>Avance Jean-Philippe Desormiers</t>
  </si>
  <si>
    <t>Mobilier</t>
  </si>
  <si>
    <t>G</t>
  </si>
  <si>
    <t>Immobilisations corporelles</t>
  </si>
  <si>
    <t>Amort. cumulé - Mobilier</t>
  </si>
  <si>
    <t>Équipement informatique</t>
  </si>
  <si>
    <t>Amort. cumulé - Équip. informatique</t>
  </si>
  <si>
    <t>Équipement et outillage</t>
  </si>
  <si>
    <t>Amort. cumulé - Équip. et outillage</t>
  </si>
  <si>
    <t>Améliorations locatives</t>
  </si>
  <si>
    <t>Amort. cumulé - Amélior. locatives</t>
  </si>
  <si>
    <t>Revenus reportés</t>
  </si>
  <si>
    <t>PD</t>
  </si>
  <si>
    <t>Produits reportés</t>
  </si>
  <si>
    <t>Marge de crédit</t>
  </si>
  <si>
    <t>Marge crédit RBC</t>
  </si>
  <si>
    <t>AA</t>
  </si>
  <si>
    <t>Comptes fournisseurs</t>
  </si>
  <si>
    <t>BB</t>
  </si>
  <si>
    <t>Créditeurs</t>
  </si>
  <si>
    <t>Frais courus</t>
  </si>
  <si>
    <t>COMPTES FOURNISSEURS - RÉGULARISATION</t>
  </si>
  <si>
    <t>Charges courues</t>
  </si>
  <si>
    <t>Carte VISA a payer</t>
  </si>
  <si>
    <t>Salaires à payer</t>
  </si>
  <si>
    <t>Vacances à payer</t>
  </si>
  <si>
    <t>D.A.S. fédérales à payer</t>
  </si>
  <si>
    <t>D.A.S. provinciales à payer</t>
  </si>
  <si>
    <t>TPS/TVH à remettre (perçue)</t>
  </si>
  <si>
    <t>CTI à recouvrer (TPS/TVH payée)</t>
  </si>
  <si>
    <t>TVP à remettre (perçue)</t>
  </si>
  <si>
    <t>RTI à recouvrer (TVP payée)</t>
  </si>
  <si>
    <t>TPS - TVQ nette</t>
  </si>
  <si>
    <t>Ajustement TPS 2020</t>
  </si>
  <si>
    <t>TPS-TVQ (octobre 2024)</t>
  </si>
  <si>
    <t>Impôts fédéraux exigibles</t>
  </si>
  <si>
    <t>FF</t>
  </si>
  <si>
    <t>Impôts exigibles</t>
  </si>
  <si>
    <t>Impôts provinciaux exigibles</t>
  </si>
  <si>
    <t>Balance de vente</t>
  </si>
  <si>
    <t>KK</t>
  </si>
  <si>
    <t>Dette à long terme</t>
  </si>
  <si>
    <t>Prêt Jean-Philippe Desormiers</t>
  </si>
  <si>
    <t>Emprunt bancaire</t>
  </si>
  <si>
    <t>Dette a court terme</t>
  </si>
  <si>
    <t>Dividendes</t>
  </si>
  <si>
    <t>UV</t>
  </si>
  <si>
    <t>Bénéfices non répartis</t>
  </si>
  <si>
    <t>Dividendes 9256-4743 Québec inc.</t>
  </si>
  <si>
    <t>Actions ordinaires</t>
  </si>
  <si>
    <t>UU</t>
  </si>
  <si>
    <t>Capital-action</t>
  </si>
  <si>
    <t>Actions Cat . E</t>
  </si>
  <si>
    <t>Action Cat Q</t>
  </si>
  <si>
    <t>Dividende de liquidation</t>
  </si>
  <si>
    <t>EA</t>
  </si>
  <si>
    <t>Écart d'acquisition</t>
  </si>
  <si>
    <t>Revenus - Developpement sur mesure</t>
  </si>
  <si>
    <t>20-101</t>
  </si>
  <si>
    <t>Revenus de développement sur mesure</t>
  </si>
  <si>
    <t>Revenus - Implantation systèmes</t>
  </si>
  <si>
    <t>Revenus - Formation clients</t>
  </si>
  <si>
    <t>20-103</t>
  </si>
  <si>
    <t>Revenus de formations</t>
  </si>
  <si>
    <t>Revenus - Déboursés administr.</t>
  </si>
  <si>
    <t>Revenus - Ventes logiciels</t>
  </si>
  <si>
    <t>20-102</t>
  </si>
  <si>
    <t>Revenus de ventes de logiciels</t>
  </si>
  <si>
    <t>Revenus - Licences</t>
  </si>
  <si>
    <t>20-104</t>
  </si>
  <si>
    <t>Revenus de licences</t>
  </si>
  <si>
    <t>Revenus - Intérêts</t>
  </si>
  <si>
    <t>Aide gouvernementale - CDAE</t>
  </si>
  <si>
    <t>Revenus - Autres</t>
  </si>
  <si>
    <t>Salaires</t>
  </si>
  <si>
    <t>30-300</t>
  </si>
  <si>
    <t>Main-d'œuvre directe et charges sociales</t>
  </si>
  <si>
    <t>RRQ (employeur)</t>
  </si>
  <si>
    <t>AE (employeur)</t>
  </si>
  <si>
    <t>RQAP (employeur)</t>
  </si>
  <si>
    <t>FSS (employeur)</t>
  </si>
  <si>
    <t>Vacances</t>
  </si>
  <si>
    <t>Salaires administratifs - Jean-Philippe Desormiers</t>
  </si>
  <si>
    <t>44-330</t>
  </si>
  <si>
    <t>Salaires administratifs - Patrick Julien</t>
  </si>
  <si>
    <t>44-335</t>
  </si>
  <si>
    <t>Salaires administratifs - Autres</t>
  </si>
  <si>
    <t>44-336</t>
  </si>
  <si>
    <t>CSST - CNT</t>
  </si>
  <si>
    <t>Penalites</t>
  </si>
  <si>
    <t>48-460</t>
  </si>
  <si>
    <t>Intérêts et frais bancaires</t>
  </si>
  <si>
    <t>Salaires impartition</t>
  </si>
  <si>
    <t>30-330</t>
  </si>
  <si>
    <t>Sous-traitance</t>
  </si>
  <si>
    <t>Sous-Traitance Tunisie</t>
  </si>
  <si>
    <t>SOUS-TRAITANCE</t>
  </si>
  <si>
    <t>Loyer</t>
  </si>
  <si>
    <t>44-540</t>
  </si>
  <si>
    <t>Alarme</t>
  </si>
  <si>
    <t>44-403</t>
  </si>
  <si>
    <t>Entretien et réparations</t>
  </si>
  <si>
    <t>Téléphone - Télécopieur</t>
  </si>
  <si>
    <t>44-610</t>
  </si>
  <si>
    <t>Télécommunications</t>
  </si>
  <si>
    <t>Cellulaires</t>
  </si>
  <si>
    <t>Internet</t>
  </si>
  <si>
    <t>Assurances</t>
  </si>
  <si>
    <t>44-340</t>
  </si>
  <si>
    <t>Dévelopement ressource externe</t>
  </si>
  <si>
    <t>44-420</t>
  </si>
  <si>
    <t>Frais informatiques</t>
  </si>
  <si>
    <t>Frais ventes et marketing</t>
  </si>
  <si>
    <t>44-803</t>
  </si>
  <si>
    <t>Marketing</t>
  </si>
  <si>
    <t>Honoraires professionnels</t>
  </si>
  <si>
    <t>44-590</t>
  </si>
  <si>
    <t>Formation</t>
  </si>
  <si>
    <t>44-804</t>
  </si>
  <si>
    <t>Frais kilometrage</t>
  </si>
  <si>
    <t>44-441</t>
  </si>
  <si>
    <t>Frais de déplacements</t>
  </si>
  <si>
    <t>Entretien Site Web</t>
  </si>
  <si>
    <t>Fournitures de bureau</t>
  </si>
  <si>
    <t>44-410</t>
  </si>
  <si>
    <t>Fournitures de bureau et papeterie</t>
  </si>
  <si>
    <t>Fournitures informatiques</t>
  </si>
  <si>
    <t>Frais de courrier, messagerie</t>
  </si>
  <si>
    <t>Frais de transport</t>
  </si>
  <si>
    <t>Cadeaux party employés</t>
  </si>
  <si>
    <t>Frais Google mensuel</t>
  </si>
  <si>
    <t>Sécurité Informatique</t>
  </si>
  <si>
    <t>Taxes, permis, licences</t>
  </si>
  <si>
    <t>Dons</t>
  </si>
  <si>
    <t>Frais carte de crédit - Global payments direct</t>
  </si>
  <si>
    <t>Entret./répar. - Bâtiment, locaux</t>
  </si>
  <si>
    <t>Frais de représentation</t>
  </si>
  <si>
    <t>44-442</t>
  </si>
  <si>
    <t>Frais de déplacement</t>
  </si>
  <si>
    <t>Frais de Voyages</t>
  </si>
  <si>
    <t>Publicité</t>
  </si>
  <si>
    <t>Site Web</t>
  </si>
  <si>
    <t>Contenu</t>
  </si>
  <si>
    <t>Produit marketing</t>
  </si>
  <si>
    <t>Prospection</t>
  </si>
  <si>
    <t>Outils de gestions marketing</t>
  </si>
  <si>
    <t>Coordination de projet</t>
  </si>
  <si>
    <t>Créances douteuses</t>
  </si>
  <si>
    <t>44-370</t>
  </si>
  <si>
    <t>Mauvaises créances</t>
  </si>
  <si>
    <t>Avis de cotisation</t>
  </si>
  <si>
    <t>Amort. - Mobilier</t>
  </si>
  <si>
    <t>44-660</t>
  </si>
  <si>
    <t>Amortissement des immobilisations corporelles</t>
  </si>
  <si>
    <t>Amort. - Équipement informatique</t>
  </si>
  <si>
    <t>Amort. - Équipement et outillage</t>
  </si>
  <si>
    <t>Amort. - Améliorations locatives</t>
  </si>
  <si>
    <t>Intérêts - marge de crédit</t>
  </si>
  <si>
    <t>Intérêts - Prêt Denis Marois</t>
  </si>
  <si>
    <t>50-460</t>
  </si>
  <si>
    <t>Intérêts sur la dette à long terme</t>
  </si>
  <si>
    <t>Intérêts - Dette à long terme</t>
  </si>
  <si>
    <t>Frain Investissement Québec</t>
  </si>
  <si>
    <t>Charges d'impôts exigibles</t>
  </si>
  <si>
    <t>80-811</t>
  </si>
  <si>
    <t>Impôts</t>
  </si>
  <si>
    <t>Intérêt prêt RBC</t>
  </si>
  <si>
    <t>Honoraires de garantie IQ</t>
  </si>
  <si>
    <t>50-461</t>
  </si>
  <si>
    <t>Divers</t>
  </si>
  <si>
    <t># de compte</t>
  </si>
  <si>
    <t>Description</t>
  </si>
  <si>
    <t>Code de liaison</t>
  </si>
  <si>
    <t>Nom du compte (selon états financiers)</t>
  </si>
  <si>
    <t>Nom de compte</t>
  </si>
  <si>
    <t>Catégories</t>
  </si>
  <si>
    <t>Types</t>
  </si>
  <si>
    <t>Classement</t>
  </si>
  <si>
    <t>Actif</t>
  </si>
  <si>
    <t>Passif</t>
  </si>
  <si>
    <t>Capitaux propres</t>
  </si>
  <si>
    <t>Revenus</t>
  </si>
  <si>
    <t>Coûts des produits vendus</t>
  </si>
  <si>
    <t>Charges</t>
  </si>
  <si>
    <t>Court terme</t>
  </si>
  <si>
    <t>Long terme</t>
  </si>
  <si>
    <t>n/a</t>
  </si>
  <si>
    <t>Frais d'administration</t>
  </si>
  <si>
    <t>Frais financiers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</si>
</sst>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5"/>
  <sheetViews>
    <sheetView workbookViewId="0">
      <selection activeCell="H55" sqref="H55"/>
    </sheetView>
  </sheetViews>
  <sheetFormatPr baseColWidth="10" defaultColWidth="8.88671875" defaultRowHeight="14.4" x14ac:dyDescent="0.3"/>
  <cols>
    <col min="1" max="1" width="11.109375" bestFit="1" customWidth="1"/>
    <col min="2" max="2" width="41.21875" bestFit="1" customWidth="1"/>
    <col min="3" max="3" width="13.33203125" bestFit="1" customWidth="1"/>
    <col min="4" max="4" width="41.21875" bestFit="1" customWidth="1"/>
  </cols>
  <sheetData>
    <row r="1" spans="1:4" x14ac:dyDescent="0.3">
      <c r="A1" t="s">
        <v>190</v>
      </c>
      <c r="B1" t="s">
        <v>191</v>
      </c>
      <c r="C1" t="s">
        <v>192</v>
      </c>
      <c r="D1" t="s">
        <v>193</v>
      </c>
    </row>
    <row r="2" spans="1:4" x14ac:dyDescent="0.3">
      <c r="A2">
        <v>1001</v>
      </c>
      <c r="B2" t="s">
        <v>0</v>
      </c>
      <c r="C2" t="s">
        <v>1</v>
      </c>
      <c r="D2" t="s">
        <v>2</v>
      </c>
    </row>
    <row r="3" spans="1:4" x14ac:dyDescent="0.3">
      <c r="A3">
        <v>1002</v>
      </c>
      <c r="B3" t="s">
        <v>3</v>
      </c>
      <c r="C3" t="s">
        <v>1</v>
      </c>
      <c r="D3" t="s">
        <v>2</v>
      </c>
    </row>
    <row r="4" spans="1:4" x14ac:dyDescent="0.3">
      <c r="A4">
        <v>1003</v>
      </c>
      <c r="B4" t="s">
        <v>4</v>
      </c>
      <c r="C4" t="s">
        <v>1</v>
      </c>
      <c r="D4" t="s">
        <v>2</v>
      </c>
    </row>
    <row r="5" spans="1:4" x14ac:dyDescent="0.3">
      <c r="A5">
        <v>1004</v>
      </c>
      <c r="B5" t="s">
        <v>5</v>
      </c>
      <c r="C5" t="s">
        <v>1</v>
      </c>
      <c r="D5" t="s">
        <v>2</v>
      </c>
    </row>
    <row r="6" spans="1:4" x14ac:dyDescent="0.3">
      <c r="A6">
        <v>1009</v>
      </c>
      <c r="B6" t="s">
        <v>6</v>
      </c>
      <c r="C6" t="s">
        <v>1</v>
      </c>
      <c r="D6" t="s">
        <v>2</v>
      </c>
    </row>
    <row r="7" spans="1:4" x14ac:dyDescent="0.3">
      <c r="A7">
        <v>1101</v>
      </c>
      <c r="B7" t="s">
        <v>7</v>
      </c>
      <c r="C7" t="s">
        <v>1</v>
      </c>
      <c r="D7" t="s">
        <v>2</v>
      </c>
    </row>
    <row r="8" spans="1:4" x14ac:dyDescent="0.3">
      <c r="A8">
        <v>1201</v>
      </c>
      <c r="B8" t="s">
        <v>8</v>
      </c>
      <c r="C8" t="s">
        <v>9</v>
      </c>
      <c r="D8" t="s">
        <v>10</v>
      </c>
    </row>
    <row r="9" spans="1:4" x14ac:dyDescent="0.3">
      <c r="A9">
        <v>1202</v>
      </c>
      <c r="B9" t="s">
        <v>11</v>
      </c>
      <c r="C9" t="s">
        <v>9</v>
      </c>
      <c r="D9" t="s">
        <v>10</v>
      </c>
    </row>
    <row r="10" spans="1:4" x14ac:dyDescent="0.3">
      <c r="A10">
        <v>1301</v>
      </c>
      <c r="B10" t="s">
        <v>12</v>
      </c>
      <c r="C10" t="s">
        <v>13</v>
      </c>
      <c r="D10" t="s">
        <v>14</v>
      </c>
    </row>
    <row r="11" spans="1:4" x14ac:dyDescent="0.3">
      <c r="A11">
        <v>1309</v>
      </c>
      <c r="B11" t="s">
        <v>15</v>
      </c>
      <c r="C11" t="s">
        <v>9</v>
      </c>
      <c r="D11" t="s">
        <v>10</v>
      </c>
    </row>
    <row r="12" spans="1:4" x14ac:dyDescent="0.3">
      <c r="A12">
        <v>1501</v>
      </c>
      <c r="B12" t="s">
        <v>16</v>
      </c>
      <c r="C12" t="s">
        <v>17</v>
      </c>
      <c r="D12" t="s">
        <v>18</v>
      </c>
    </row>
    <row r="13" spans="1:4" x14ac:dyDescent="0.3">
      <c r="A13">
        <v>1502</v>
      </c>
      <c r="B13" t="s">
        <v>19</v>
      </c>
      <c r="C13" t="s">
        <v>17</v>
      </c>
      <c r="D13" t="s">
        <v>18</v>
      </c>
    </row>
    <row r="14" spans="1:4" x14ac:dyDescent="0.3">
      <c r="A14">
        <v>1504</v>
      </c>
      <c r="B14" t="s">
        <v>20</v>
      </c>
      <c r="C14" t="s">
        <v>17</v>
      </c>
      <c r="D14" t="s">
        <v>18</v>
      </c>
    </row>
    <row r="15" spans="1:4" x14ac:dyDescent="0.3">
      <c r="A15">
        <v>1721</v>
      </c>
      <c r="B15" t="s">
        <v>21</v>
      </c>
      <c r="C15" t="s">
        <v>22</v>
      </c>
      <c r="D15" t="s">
        <v>23</v>
      </c>
    </row>
    <row r="16" spans="1:4" x14ac:dyDescent="0.3">
      <c r="A16">
        <v>1722</v>
      </c>
      <c r="B16" t="s">
        <v>24</v>
      </c>
      <c r="C16" t="s">
        <v>22</v>
      </c>
      <c r="D16" t="s">
        <v>23</v>
      </c>
    </row>
    <row r="17" spans="1:4" x14ac:dyDescent="0.3">
      <c r="A17">
        <v>1731</v>
      </c>
      <c r="B17" t="s">
        <v>25</v>
      </c>
      <c r="C17" t="s">
        <v>22</v>
      </c>
      <c r="D17" t="s">
        <v>23</v>
      </c>
    </row>
    <row r="18" spans="1:4" x14ac:dyDescent="0.3">
      <c r="A18">
        <v>1732</v>
      </c>
      <c r="B18" t="s">
        <v>26</v>
      </c>
      <c r="C18" t="s">
        <v>22</v>
      </c>
      <c r="D18" t="s">
        <v>23</v>
      </c>
    </row>
    <row r="19" spans="1:4" x14ac:dyDescent="0.3">
      <c r="A19">
        <v>1751</v>
      </c>
      <c r="B19" t="s">
        <v>27</v>
      </c>
      <c r="C19" t="s">
        <v>22</v>
      </c>
      <c r="D19" t="s">
        <v>23</v>
      </c>
    </row>
    <row r="20" spans="1:4" x14ac:dyDescent="0.3">
      <c r="A20">
        <v>1752</v>
      </c>
      <c r="B20" t="s">
        <v>28</v>
      </c>
      <c r="C20" t="s">
        <v>22</v>
      </c>
      <c r="D20" t="s">
        <v>23</v>
      </c>
    </row>
    <row r="21" spans="1:4" x14ac:dyDescent="0.3">
      <c r="A21">
        <v>1781</v>
      </c>
      <c r="B21" t="s">
        <v>29</v>
      </c>
      <c r="C21" t="s">
        <v>22</v>
      </c>
      <c r="D21" t="s">
        <v>23</v>
      </c>
    </row>
    <row r="22" spans="1:4" x14ac:dyDescent="0.3">
      <c r="A22">
        <v>1782</v>
      </c>
      <c r="B22" t="s">
        <v>30</v>
      </c>
      <c r="C22" t="s">
        <v>22</v>
      </c>
      <c r="D22" t="s">
        <v>23</v>
      </c>
    </row>
    <row r="23" spans="1:4" x14ac:dyDescent="0.3">
      <c r="A23">
        <v>2000</v>
      </c>
      <c r="B23" t="s">
        <v>31</v>
      </c>
      <c r="C23" t="s">
        <v>32</v>
      </c>
      <c r="D23" t="s">
        <v>33</v>
      </c>
    </row>
    <row r="24" spans="1:4" x14ac:dyDescent="0.3">
      <c r="A24">
        <v>2001</v>
      </c>
      <c r="B24" t="s">
        <v>34</v>
      </c>
      <c r="C24" t="s">
        <v>1</v>
      </c>
      <c r="D24" t="s">
        <v>2</v>
      </c>
    </row>
    <row r="25" spans="1:4" x14ac:dyDescent="0.3">
      <c r="A25">
        <v>2002</v>
      </c>
      <c r="B25" t="s">
        <v>35</v>
      </c>
      <c r="C25" t="s">
        <v>36</v>
      </c>
      <c r="D25" t="s">
        <v>34</v>
      </c>
    </row>
    <row r="26" spans="1:4" x14ac:dyDescent="0.3">
      <c r="A26">
        <v>2101</v>
      </c>
      <c r="B26" t="s">
        <v>37</v>
      </c>
      <c r="C26" t="s">
        <v>38</v>
      </c>
      <c r="D26" t="s">
        <v>39</v>
      </c>
    </row>
    <row r="27" spans="1:4" x14ac:dyDescent="0.3">
      <c r="A27">
        <v>2102</v>
      </c>
      <c r="B27" t="s">
        <v>40</v>
      </c>
      <c r="C27" t="s">
        <v>38</v>
      </c>
      <c r="D27" t="s">
        <v>39</v>
      </c>
    </row>
    <row r="28" spans="1:4" x14ac:dyDescent="0.3">
      <c r="A28">
        <v>2103</v>
      </c>
      <c r="B28" t="s">
        <v>41</v>
      </c>
      <c r="C28" t="s">
        <v>38</v>
      </c>
      <c r="D28" t="s">
        <v>39</v>
      </c>
    </row>
    <row r="29" spans="1:4" x14ac:dyDescent="0.3">
      <c r="A29">
        <v>2121</v>
      </c>
      <c r="B29" t="s">
        <v>42</v>
      </c>
      <c r="C29" t="s">
        <v>38</v>
      </c>
      <c r="D29" t="s">
        <v>39</v>
      </c>
    </row>
    <row r="30" spans="1:4" x14ac:dyDescent="0.3">
      <c r="A30">
        <v>2200</v>
      </c>
      <c r="B30" t="s">
        <v>43</v>
      </c>
      <c r="C30" t="s">
        <v>38</v>
      </c>
      <c r="D30" t="s">
        <v>39</v>
      </c>
    </row>
    <row r="31" spans="1:4" x14ac:dyDescent="0.3">
      <c r="A31">
        <v>2201</v>
      </c>
      <c r="B31" t="s">
        <v>44</v>
      </c>
      <c r="C31" t="s">
        <v>38</v>
      </c>
      <c r="D31" t="s">
        <v>39</v>
      </c>
    </row>
    <row r="32" spans="1:4" x14ac:dyDescent="0.3">
      <c r="A32">
        <v>2202</v>
      </c>
      <c r="B32" t="s">
        <v>45</v>
      </c>
      <c r="C32" t="s">
        <v>38</v>
      </c>
      <c r="D32" t="s">
        <v>39</v>
      </c>
    </row>
    <row r="33" spans="1:4" x14ac:dyDescent="0.3">
      <c r="A33">
        <v>2211</v>
      </c>
      <c r="B33" t="s">
        <v>46</v>
      </c>
      <c r="C33" t="s">
        <v>38</v>
      </c>
      <c r="D33" t="s">
        <v>39</v>
      </c>
    </row>
    <row r="34" spans="1:4" x14ac:dyDescent="0.3">
      <c r="A34">
        <v>2212</v>
      </c>
      <c r="B34" t="s">
        <v>47</v>
      </c>
      <c r="C34" t="s">
        <v>38</v>
      </c>
      <c r="D34" t="s">
        <v>39</v>
      </c>
    </row>
    <row r="35" spans="1:4" x14ac:dyDescent="0.3">
      <c r="A35">
        <v>2301</v>
      </c>
      <c r="B35" t="s">
        <v>48</v>
      </c>
      <c r="C35" t="s">
        <v>38</v>
      </c>
      <c r="D35" t="s">
        <v>39</v>
      </c>
    </row>
    <row r="36" spans="1:4" x14ac:dyDescent="0.3">
      <c r="A36">
        <v>2302</v>
      </c>
      <c r="B36" t="s">
        <v>49</v>
      </c>
      <c r="C36" t="s">
        <v>38</v>
      </c>
      <c r="D36" t="s">
        <v>39</v>
      </c>
    </row>
    <row r="37" spans="1:4" x14ac:dyDescent="0.3">
      <c r="A37">
        <v>2311</v>
      </c>
      <c r="B37" t="s">
        <v>50</v>
      </c>
      <c r="C37" t="s">
        <v>38</v>
      </c>
      <c r="D37" t="s">
        <v>39</v>
      </c>
    </row>
    <row r="38" spans="1:4" x14ac:dyDescent="0.3">
      <c r="A38">
        <v>2312</v>
      </c>
      <c r="B38" t="s">
        <v>51</v>
      </c>
      <c r="C38" t="s">
        <v>38</v>
      </c>
      <c r="D38" t="s">
        <v>39</v>
      </c>
    </row>
    <row r="39" spans="1:4" x14ac:dyDescent="0.3">
      <c r="A39">
        <v>2315</v>
      </c>
      <c r="B39" t="s">
        <v>52</v>
      </c>
      <c r="C39" t="s">
        <v>38</v>
      </c>
      <c r="D39" t="s">
        <v>39</v>
      </c>
    </row>
    <row r="40" spans="1:4" x14ac:dyDescent="0.3">
      <c r="A40">
        <v>2316</v>
      </c>
      <c r="B40" t="s">
        <v>53</v>
      </c>
      <c r="C40" t="s">
        <v>38</v>
      </c>
      <c r="D40" t="s">
        <v>39</v>
      </c>
    </row>
    <row r="41" spans="1:4" x14ac:dyDescent="0.3">
      <c r="A41">
        <v>2320</v>
      </c>
      <c r="B41" t="s">
        <v>54</v>
      </c>
      <c r="C41" t="s">
        <v>38</v>
      </c>
      <c r="D41" t="s">
        <v>39</v>
      </c>
    </row>
    <row r="42" spans="1:4" x14ac:dyDescent="0.3">
      <c r="A42">
        <v>2501</v>
      </c>
      <c r="B42" t="s">
        <v>55</v>
      </c>
      <c r="C42" t="s">
        <v>56</v>
      </c>
      <c r="D42" t="s">
        <v>57</v>
      </c>
    </row>
    <row r="43" spans="1:4" x14ac:dyDescent="0.3">
      <c r="A43">
        <v>2502</v>
      </c>
      <c r="B43" t="s">
        <v>58</v>
      </c>
      <c r="C43" t="s">
        <v>56</v>
      </c>
      <c r="D43" t="s">
        <v>57</v>
      </c>
    </row>
    <row r="44" spans="1:4" x14ac:dyDescent="0.3">
      <c r="A44">
        <v>2509</v>
      </c>
      <c r="B44" t="s">
        <v>59</v>
      </c>
      <c r="C44" t="s">
        <v>60</v>
      </c>
      <c r="D44" t="s">
        <v>61</v>
      </c>
    </row>
    <row r="45" spans="1:4" x14ac:dyDescent="0.3">
      <c r="A45">
        <v>2600</v>
      </c>
      <c r="B45" t="s">
        <v>62</v>
      </c>
      <c r="C45" t="s">
        <v>17</v>
      </c>
      <c r="D45" t="s">
        <v>18</v>
      </c>
    </row>
    <row r="46" spans="1:4" x14ac:dyDescent="0.3">
      <c r="A46">
        <v>3201</v>
      </c>
      <c r="B46" t="s">
        <v>63</v>
      </c>
      <c r="C46" t="s">
        <v>60</v>
      </c>
      <c r="D46" t="s">
        <v>61</v>
      </c>
    </row>
    <row r="47" spans="1:4" x14ac:dyDescent="0.3">
      <c r="A47">
        <v>3207</v>
      </c>
      <c r="B47" t="s">
        <v>64</v>
      </c>
      <c r="C47" t="s">
        <v>60</v>
      </c>
      <c r="D47" t="s">
        <v>61</v>
      </c>
    </row>
    <row r="48" spans="1:4" x14ac:dyDescent="0.3">
      <c r="A48">
        <v>3800</v>
      </c>
      <c r="B48" t="s">
        <v>65</v>
      </c>
      <c r="C48" t="s">
        <v>66</v>
      </c>
      <c r="D48" t="s">
        <v>67</v>
      </c>
    </row>
    <row r="49" spans="1:4" x14ac:dyDescent="0.3">
      <c r="A49">
        <v>3810</v>
      </c>
      <c r="B49" t="s">
        <v>68</v>
      </c>
      <c r="C49" t="s">
        <v>66</v>
      </c>
      <c r="D49" t="s">
        <v>67</v>
      </c>
    </row>
    <row r="50" spans="1:4" x14ac:dyDescent="0.3">
      <c r="A50">
        <v>4001</v>
      </c>
      <c r="B50" t="s">
        <v>69</v>
      </c>
      <c r="C50" t="s">
        <v>70</v>
      </c>
      <c r="D50" t="s">
        <v>71</v>
      </c>
    </row>
    <row r="51" spans="1:4" x14ac:dyDescent="0.3">
      <c r="A51">
        <v>4002</v>
      </c>
      <c r="B51" t="s">
        <v>72</v>
      </c>
      <c r="C51" t="s">
        <v>70</v>
      </c>
      <c r="D51" t="s">
        <v>71</v>
      </c>
    </row>
    <row r="52" spans="1:4" x14ac:dyDescent="0.3">
      <c r="A52">
        <v>4007</v>
      </c>
      <c r="B52" t="s">
        <v>73</v>
      </c>
      <c r="C52" t="s">
        <v>70</v>
      </c>
      <c r="D52" t="s">
        <v>71</v>
      </c>
    </row>
    <row r="53" spans="1:4" x14ac:dyDescent="0.3">
      <c r="A53">
        <v>4011</v>
      </c>
      <c r="B53" t="s">
        <v>67</v>
      </c>
      <c r="C53" t="s">
        <v>66</v>
      </c>
      <c r="D53" t="s">
        <v>67</v>
      </c>
    </row>
    <row r="54" spans="1:4" x14ac:dyDescent="0.3">
      <c r="A54">
        <v>4500</v>
      </c>
      <c r="B54" t="s">
        <v>74</v>
      </c>
      <c r="C54" t="s">
        <v>75</v>
      </c>
      <c r="D54" t="s">
        <v>76</v>
      </c>
    </row>
    <row r="55" spans="1:4" x14ac:dyDescent="0.3">
      <c r="A55">
        <v>5001</v>
      </c>
      <c r="B55" t="s">
        <v>77</v>
      </c>
      <c r="C55" t="s">
        <v>78</v>
      </c>
      <c r="D55" t="s">
        <v>79</v>
      </c>
    </row>
    <row r="56" spans="1:4" x14ac:dyDescent="0.3">
      <c r="A56">
        <v>5002</v>
      </c>
      <c r="B56" t="s">
        <v>80</v>
      </c>
      <c r="C56" t="s">
        <v>78</v>
      </c>
      <c r="D56" t="s">
        <v>79</v>
      </c>
    </row>
    <row r="57" spans="1:4" x14ac:dyDescent="0.3">
      <c r="A57">
        <v>5004</v>
      </c>
      <c r="B57" t="s">
        <v>81</v>
      </c>
      <c r="C57" t="s">
        <v>82</v>
      </c>
      <c r="D57" t="s">
        <v>83</v>
      </c>
    </row>
    <row r="58" spans="1:4" x14ac:dyDescent="0.3">
      <c r="A58">
        <v>5005</v>
      </c>
      <c r="B58" t="s">
        <v>84</v>
      </c>
      <c r="C58" t="s">
        <v>78</v>
      </c>
      <c r="D58" t="s">
        <v>79</v>
      </c>
    </row>
    <row r="59" spans="1:4" x14ac:dyDescent="0.3">
      <c r="A59">
        <v>5009</v>
      </c>
      <c r="B59" t="s">
        <v>85</v>
      </c>
      <c r="C59" t="s">
        <v>86</v>
      </c>
      <c r="D59" t="s">
        <v>87</v>
      </c>
    </row>
    <row r="60" spans="1:4" x14ac:dyDescent="0.3">
      <c r="A60">
        <v>5010</v>
      </c>
      <c r="B60" t="s">
        <v>88</v>
      </c>
      <c r="C60" t="s">
        <v>89</v>
      </c>
      <c r="D60" t="s">
        <v>90</v>
      </c>
    </row>
    <row r="61" spans="1:4" x14ac:dyDescent="0.3">
      <c r="A61">
        <v>5901</v>
      </c>
      <c r="B61" t="s">
        <v>91</v>
      </c>
      <c r="C61" t="s">
        <v>78</v>
      </c>
      <c r="D61" t="s">
        <v>79</v>
      </c>
    </row>
    <row r="62" spans="1:4" x14ac:dyDescent="0.3">
      <c r="A62">
        <v>5950</v>
      </c>
      <c r="B62" t="s">
        <v>92</v>
      </c>
      <c r="C62" t="s">
        <v>78</v>
      </c>
      <c r="D62" t="s">
        <v>79</v>
      </c>
    </row>
    <row r="63" spans="1:4" x14ac:dyDescent="0.3">
      <c r="A63">
        <v>5951</v>
      </c>
      <c r="B63" t="s">
        <v>93</v>
      </c>
      <c r="C63" t="s">
        <v>78</v>
      </c>
      <c r="D63" t="s">
        <v>79</v>
      </c>
    </row>
    <row r="64" spans="1:4" x14ac:dyDescent="0.3">
      <c r="A64">
        <v>8001</v>
      </c>
      <c r="B64" t="s">
        <v>94</v>
      </c>
      <c r="C64" t="s">
        <v>95</v>
      </c>
      <c r="D64" t="s">
        <v>96</v>
      </c>
    </row>
    <row r="65" spans="1:4" x14ac:dyDescent="0.3">
      <c r="A65">
        <v>8002</v>
      </c>
      <c r="B65" t="s">
        <v>97</v>
      </c>
      <c r="C65" t="s">
        <v>95</v>
      </c>
      <c r="D65" t="s">
        <v>96</v>
      </c>
    </row>
    <row r="66" spans="1:4" x14ac:dyDescent="0.3">
      <c r="A66">
        <v>8003</v>
      </c>
      <c r="B66" t="s">
        <v>98</v>
      </c>
      <c r="C66" t="s">
        <v>95</v>
      </c>
      <c r="D66" t="s">
        <v>96</v>
      </c>
    </row>
    <row r="67" spans="1:4" x14ac:dyDescent="0.3">
      <c r="A67">
        <v>8004</v>
      </c>
      <c r="B67" t="s">
        <v>99</v>
      </c>
      <c r="C67" t="s">
        <v>95</v>
      </c>
      <c r="D67" t="s">
        <v>96</v>
      </c>
    </row>
    <row r="68" spans="1:4" x14ac:dyDescent="0.3">
      <c r="A68">
        <v>8005</v>
      </c>
      <c r="B68" t="s">
        <v>100</v>
      </c>
      <c r="C68" t="s">
        <v>95</v>
      </c>
      <c r="D68" t="s">
        <v>96</v>
      </c>
    </row>
    <row r="69" spans="1:4" x14ac:dyDescent="0.3">
      <c r="A69">
        <v>8006</v>
      </c>
      <c r="B69" t="s">
        <v>101</v>
      </c>
      <c r="C69" t="s">
        <v>95</v>
      </c>
      <c r="D69" t="s">
        <v>96</v>
      </c>
    </row>
    <row r="70" spans="1:4" x14ac:dyDescent="0.3">
      <c r="A70">
        <v>8007</v>
      </c>
      <c r="B70" t="s">
        <v>102</v>
      </c>
      <c r="C70" t="s">
        <v>103</v>
      </c>
      <c r="D70" t="s">
        <v>102</v>
      </c>
    </row>
    <row r="71" spans="1:4" x14ac:dyDescent="0.3">
      <c r="A71">
        <v>8008</v>
      </c>
      <c r="B71" t="s">
        <v>104</v>
      </c>
      <c r="C71" t="s">
        <v>105</v>
      </c>
      <c r="D71" t="s">
        <v>104</v>
      </c>
    </row>
    <row r="72" spans="1:4" x14ac:dyDescent="0.3">
      <c r="A72">
        <v>8009</v>
      </c>
      <c r="B72" t="s">
        <v>106</v>
      </c>
      <c r="C72" t="s">
        <v>107</v>
      </c>
      <c r="D72" t="s">
        <v>106</v>
      </c>
    </row>
    <row r="73" spans="1:4" x14ac:dyDescent="0.3">
      <c r="A73">
        <v>8051</v>
      </c>
      <c r="B73" t="s">
        <v>108</v>
      </c>
      <c r="C73" t="s">
        <v>95</v>
      </c>
      <c r="D73" t="s">
        <v>96</v>
      </c>
    </row>
    <row r="74" spans="1:4" x14ac:dyDescent="0.3">
      <c r="A74">
        <v>8052</v>
      </c>
      <c r="B74" t="s">
        <v>109</v>
      </c>
      <c r="C74" t="s">
        <v>110</v>
      </c>
      <c r="D74" t="s">
        <v>111</v>
      </c>
    </row>
    <row r="75" spans="1:4" x14ac:dyDescent="0.3">
      <c r="A75">
        <v>8075</v>
      </c>
      <c r="B75" t="s">
        <v>112</v>
      </c>
      <c r="C75" t="s">
        <v>113</v>
      </c>
      <c r="D75" t="s">
        <v>114</v>
      </c>
    </row>
    <row r="76" spans="1:4" x14ac:dyDescent="0.3">
      <c r="A76">
        <v>8085</v>
      </c>
      <c r="B76" t="s">
        <v>115</v>
      </c>
      <c r="C76" t="s">
        <v>113</v>
      </c>
      <c r="D76" t="s">
        <v>114</v>
      </c>
    </row>
    <row r="77" spans="1:4" x14ac:dyDescent="0.3">
      <c r="A77">
        <v>8090</v>
      </c>
      <c r="B77" t="s">
        <v>116</v>
      </c>
      <c r="C77" t="s">
        <v>113</v>
      </c>
      <c r="D77" t="s">
        <v>114</v>
      </c>
    </row>
    <row r="78" spans="1:4" x14ac:dyDescent="0.3">
      <c r="A78">
        <v>8201</v>
      </c>
      <c r="B78" t="s">
        <v>117</v>
      </c>
      <c r="C78" t="s">
        <v>118</v>
      </c>
      <c r="D78" t="s">
        <v>117</v>
      </c>
    </row>
    <row r="79" spans="1:4" x14ac:dyDescent="0.3">
      <c r="A79">
        <v>8205</v>
      </c>
      <c r="B79" t="s">
        <v>119</v>
      </c>
      <c r="C79" t="s">
        <v>120</v>
      </c>
      <c r="D79" t="s">
        <v>121</v>
      </c>
    </row>
    <row r="80" spans="1:4" x14ac:dyDescent="0.3">
      <c r="A80">
        <v>8211</v>
      </c>
      <c r="B80" t="s">
        <v>122</v>
      </c>
      <c r="C80" t="s">
        <v>123</v>
      </c>
      <c r="D80" t="s">
        <v>124</v>
      </c>
    </row>
    <row r="81" spans="1:4" x14ac:dyDescent="0.3">
      <c r="A81">
        <v>8212</v>
      </c>
      <c r="B81" t="s">
        <v>125</v>
      </c>
      <c r="C81" t="s">
        <v>123</v>
      </c>
      <c r="D81" t="s">
        <v>124</v>
      </c>
    </row>
    <row r="82" spans="1:4" x14ac:dyDescent="0.3">
      <c r="A82">
        <v>8221</v>
      </c>
      <c r="B82" t="s">
        <v>126</v>
      </c>
      <c r="C82" t="s">
        <v>123</v>
      </c>
      <c r="D82" t="s">
        <v>124</v>
      </c>
    </row>
    <row r="83" spans="1:4" x14ac:dyDescent="0.3">
      <c r="A83">
        <v>8241</v>
      </c>
      <c r="B83" t="s">
        <v>127</v>
      </c>
      <c r="C83" t="s">
        <v>128</v>
      </c>
      <c r="D83" t="s">
        <v>127</v>
      </c>
    </row>
    <row r="84" spans="1:4" x14ac:dyDescent="0.3">
      <c r="A84">
        <v>8245</v>
      </c>
      <c r="B84" t="s">
        <v>129</v>
      </c>
      <c r="C84" t="s">
        <v>130</v>
      </c>
      <c r="D84" t="s">
        <v>131</v>
      </c>
    </row>
    <row r="85" spans="1:4" x14ac:dyDescent="0.3">
      <c r="A85">
        <v>8250</v>
      </c>
      <c r="B85" t="s">
        <v>132</v>
      </c>
      <c r="C85" t="s">
        <v>133</v>
      </c>
      <c r="D85" t="s">
        <v>134</v>
      </c>
    </row>
    <row r="86" spans="1:4" x14ac:dyDescent="0.3">
      <c r="A86">
        <v>8251</v>
      </c>
      <c r="B86" t="s">
        <v>135</v>
      </c>
      <c r="C86" t="s">
        <v>136</v>
      </c>
      <c r="D86" t="s">
        <v>135</v>
      </c>
    </row>
    <row r="87" spans="1:4" x14ac:dyDescent="0.3">
      <c r="A87">
        <v>8253</v>
      </c>
      <c r="B87" t="s">
        <v>137</v>
      </c>
      <c r="C87" t="s">
        <v>138</v>
      </c>
      <c r="D87" t="s">
        <v>137</v>
      </c>
    </row>
    <row r="88" spans="1:4" x14ac:dyDescent="0.3">
      <c r="A88">
        <v>8254</v>
      </c>
      <c r="B88" t="s">
        <v>139</v>
      </c>
      <c r="C88" t="s">
        <v>140</v>
      </c>
      <c r="D88" t="s">
        <v>141</v>
      </c>
    </row>
    <row r="89" spans="1:4" x14ac:dyDescent="0.3">
      <c r="A89">
        <v>8255</v>
      </c>
      <c r="B89" t="s">
        <v>142</v>
      </c>
      <c r="C89" t="s">
        <v>133</v>
      </c>
      <c r="D89" t="s">
        <v>134</v>
      </c>
    </row>
    <row r="90" spans="1:4" x14ac:dyDescent="0.3">
      <c r="A90">
        <v>8261</v>
      </c>
      <c r="B90" t="s">
        <v>143</v>
      </c>
      <c r="C90" t="s">
        <v>144</v>
      </c>
      <c r="D90" t="s">
        <v>145</v>
      </c>
    </row>
    <row r="91" spans="1:4" x14ac:dyDescent="0.3">
      <c r="A91">
        <v>8262</v>
      </c>
      <c r="B91" t="s">
        <v>146</v>
      </c>
      <c r="C91" t="s">
        <v>130</v>
      </c>
      <c r="D91" t="s">
        <v>131</v>
      </c>
    </row>
    <row r="92" spans="1:4" x14ac:dyDescent="0.3">
      <c r="A92">
        <v>8271</v>
      </c>
      <c r="B92" t="s">
        <v>147</v>
      </c>
      <c r="C92" t="s">
        <v>144</v>
      </c>
      <c r="D92" t="s">
        <v>145</v>
      </c>
    </row>
    <row r="93" spans="1:4" x14ac:dyDescent="0.3">
      <c r="A93">
        <v>8275</v>
      </c>
      <c r="B93" t="s">
        <v>148</v>
      </c>
      <c r="C93" t="s">
        <v>140</v>
      </c>
      <c r="D93" t="s">
        <v>141</v>
      </c>
    </row>
    <row r="94" spans="1:4" x14ac:dyDescent="0.3">
      <c r="A94">
        <v>8276</v>
      </c>
      <c r="B94" t="s">
        <v>149</v>
      </c>
      <c r="C94" t="s">
        <v>144</v>
      </c>
      <c r="D94" t="s">
        <v>145</v>
      </c>
    </row>
    <row r="95" spans="1:4" x14ac:dyDescent="0.3">
      <c r="A95">
        <v>8279</v>
      </c>
      <c r="B95" t="s">
        <v>150</v>
      </c>
      <c r="C95" t="s">
        <v>133</v>
      </c>
      <c r="D95" t="s">
        <v>134</v>
      </c>
    </row>
    <row r="96" spans="1:4" x14ac:dyDescent="0.3">
      <c r="A96">
        <v>8280</v>
      </c>
      <c r="B96" t="s">
        <v>151</v>
      </c>
      <c r="C96" t="s">
        <v>130</v>
      </c>
      <c r="D96" t="s">
        <v>131</v>
      </c>
    </row>
    <row r="97" spans="1:4" x14ac:dyDescent="0.3">
      <c r="A97">
        <v>8281</v>
      </c>
      <c r="B97" t="s">
        <v>152</v>
      </c>
      <c r="C97" t="s">
        <v>130</v>
      </c>
      <c r="D97" t="s">
        <v>131</v>
      </c>
    </row>
    <row r="98" spans="1:4" x14ac:dyDescent="0.3">
      <c r="A98">
        <v>8282</v>
      </c>
      <c r="B98" t="s">
        <v>153</v>
      </c>
      <c r="C98" t="s">
        <v>133</v>
      </c>
      <c r="D98" t="s">
        <v>134</v>
      </c>
    </row>
    <row r="99" spans="1:4" x14ac:dyDescent="0.3">
      <c r="A99">
        <v>8285</v>
      </c>
      <c r="B99" t="s">
        <v>154</v>
      </c>
      <c r="C99" t="s">
        <v>110</v>
      </c>
      <c r="D99" t="s">
        <v>111</v>
      </c>
    </row>
    <row r="100" spans="1:4" x14ac:dyDescent="0.3">
      <c r="A100">
        <v>8293</v>
      </c>
      <c r="B100" t="s">
        <v>155</v>
      </c>
      <c r="C100" t="s">
        <v>120</v>
      </c>
      <c r="D100" t="s">
        <v>121</v>
      </c>
    </row>
    <row r="101" spans="1:4" x14ac:dyDescent="0.3">
      <c r="A101">
        <v>8301</v>
      </c>
      <c r="B101" t="s">
        <v>156</v>
      </c>
      <c r="C101" t="s">
        <v>157</v>
      </c>
      <c r="D101" t="s">
        <v>156</v>
      </c>
    </row>
    <row r="102" spans="1:4" x14ac:dyDescent="0.3">
      <c r="A102">
        <v>8311</v>
      </c>
      <c r="B102" t="s">
        <v>158</v>
      </c>
      <c r="C102" t="s">
        <v>140</v>
      </c>
      <c r="D102" t="s">
        <v>141</v>
      </c>
    </row>
    <row r="103" spans="1:4" x14ac:dyDescent="0.3">
      <c r="A103">
        <v>8312</v>
      </c>
      <c r="B103" t="s">
        <v>159</v>
      </c>
      <c r="C103" t="s">
        <v>140</v>
      </c>
      <c r="D103" t="s">
        <v>141</v>
      </c>
    </row>
    <row r="104" spans="1:4" x14ac:dyDescent="0.3">
      <c r="A104">
        <v>8321</v>
      </c>
      <c r="B104" t="s">
        <v>160</v>
      </c>
      <c r="C104" t="s">
        <v>133</v>
      </c>
      <c r="D104" t="s">
        <v>134</v>
      </c>
    </row>
    <row r="105" spans="1:4" x14ac:dyDescent="0.3">
      <c r="A105">
        <v>8322</v>
      </c>
      <c r="B105" t="s">
        <v>161</v>
      </c>
      <c r="C105" t="s">
        <v>133</v>
      </c>
      <c r="D105" t="s">
        <v>134</v>
      </c>
    </row>
    <row r="106" spans="1:4" x14ac:dyDescent="0.3">
      <c r="A106">
        <v>8323</v>
      </c>
      <c r="B106" t="s">
        <v>162</v>
      </c>
      <c r="C106" t="s">
        <v>133</v>
      </c>
      <c r="D106" t="s">
        <v>134</v>
      </c>
    </row>
    <row r="107" spans="1:4" x14ac:dyDescent="0.3">
      <c r="A107">
        <v>8324</v>
      </c>
      <c r="B107" t="s">
        <v>163</v>
      </c>
      <c r="C107" t="s">
        <v>133</v>
      </c>
      <c r="D107" t="s">
        <v>134</v>
      </c>
    </row>
    <row r="108" spans="1:4" x14ac:dyDescent="0.3">
      <c r="A108">
        <v>8325</v>
      </c>
      <c r="B108" t="s">
        <v>164</v>
      </c>
      <c r="C108" t="s">
        <v>133</v>
      </c>
      <c r="D108" t="s">
        <v>134</v>
      </c>
    </row>
    <row r="109" spans="1:4" x14ac:dyDescent="0.3">
      <c r="A109">
        <v>8326</v>
      </c>
      <c r="B109" t="s">
        <v>165</v>
      </c>
      <c r="C109" t="s">
        <v>133</v>
      </c>
      <c r="D109" t="s">
        <v>134</v>
      </c>
    </row>
    <row r="110" spans="1:4" x14ac:dyDescent="0.3">
      <c r="A110">
        <v>8327</v>
      </c>
      <c r="B110" t="s">
        <v>166</v>
      </c>
      <c r="C110" t="s">
        <v>133</v>
      </c>
      <c r="D110" t="s">
        <v>134</v>
      </c>
    </row>
    <row r="111" spans="1:4" x14ac:dyDescent="0.3">
      <c r="A111">
        <v>8401</v>
      </c>
      <c r="B111" t="s">
        <v>167</v>
      </c>
      <c r="C111" t="s">
        <v>168</v>
      </c>
      <c r="D111" t="s">
        <v>169</v>
      </c>
    </row>
    <row r="112" spans="1:4" x14ac:dyDescent="0.3">
      <c r="A112">
        <v>8500</v>
      </c>
      <c r="B112" t="s">
        <v>170</v>
      </c>
      <c r="C112" t="s">
        <v>110</v>
      </c>
      <c r="D112" t="s">
        <v>111</v>
      </c>
    </row>
    <row r="113" spans="1:4" x14ac:dyDescent="0.3">
      <c r="A113">
        <v>8722</v>
      </c>
      <c r="B113" t="s">
        <v>171</v>
      </c>
      <c r="C113" t="s">
        <v>172</v>
      </c>
      <c r="D113" t="s">
        <v>173</v>
      </c>
    </row>
    <row r="114" spans="1:4" x14ac:dyDescent="0.3">
      <c r="A114">
        <v>8732</v>
      </c>
      <c r="B114" t="s">
        <v>174</v>
      </c>
      <c r="C114" t="s">
        <v>172</v>
      </c>
      <c r="D114" t="s">
        <v>173</v>
      </c>
    </row>
    <row r="115" spans="1:4" x14ac:dyDescent="0.3">
      <c r="A115">
        <v>8752</v>
      </c>
      <c r="B115" t="s">
        <v>175</v>
      </c>
      <c r="C115" t="s">
        <v>172</v>
      </c>
      <c r="D115" t="s">
        <v>173</v>
      </c>
    </row>
    <row r="116" spans="1:4" x14ac:dyDescent="0.3">
      <c r="A116">
        <v>8782</v>
      </c>
      <c r="B116" t="s">
        <v>176</v>
      </c>
      <c r="C116" t="s">
        <v>172</v>
      </c>
      <c r="D116" t="s">
        <v>173</v>
      </c>
    </row>
    <row r="117" spans="1:4" x14ac:dyDescent="0.3">
      <c r="A117">
        <v>9001</v>
      </c>
      <c r="B117" t="s">
        <v>111</v>
      </c>
      <c r="C117" t="s">
        <v>110</v>
      </c>
      <c r="D117" t="s">
        <v>111</v>
      </c>
    </row>
    <row r="118" spans="1:4" x14ac:dyDescent="0.3">
      <c r="A118">
        <v>9002</v>
      </c>
      <c r="B118" t="s">
        <v>177</v>
      </c>
      <c r="C118" t="s">
        <v>110</v>
      </c>
      <c r="D118" t="s">
        <v>111</v>
      </c>
    </row>
    <row r="119" spans="1:4" x14ac:dyDescent="0.3">
      <c r="A119">
        <v>9003</v>
      </c>
      <c r="B119" t="s">
        <v>178</v>
      </c>
      <c r="C119" t="s">
        <v>179</v>
      </c>
      <c r="D119" t="s">
        <v>180</v>
      </c>
    </row>
    <row r="120" spans="1:4" x14ac:dyDescent="0.3">
      <c r="A120">
        <v>9005</v>
      </c>
      <c r="B120" t="s">
        <v>181</v>
      </c>
      <c r="C120" t="s">
        <v>179</v>
      </c>
      <c r="D120" t="s">
        <v>180</v>
      </c>
    </row>
    <row r="121" spans="1:4" x14ac:dyDescent="0.3">
      <c r="A121">
        <v>9007</v>
      </c>
      <c r="B121" t="s">
        <v>182</v>
      </c>
      <c r="C121" t="s">
        <v>179</v>
      </c>
      <c r="D121" t="s">
        <v>180</v>
      </c>
    </row>
    <row r="122" spans="1:4" x14ac:dyDescent="0.3">
      <c r="A122">
        <v>9500</v>
      </c>
      <c r="B122" t="s">
        <v>183</v>
      </c>
      <c r="C122" t="s">
        <v>184</v>
      </c>
      <c r="D122" t="s">
        <v>185</v>
      </c>
    </row>
    <row r="123" spans="1:4" x14ac:dyDescent="0.3">
      <c r="A123">
        <v>9503</v>
      </c>
      <c r="B123" t="s">
        <v>186</v>
      </c>
      <c r="C123" t="s">
        <v>179</v>
      </c>
      <c r="D123" t="s">
        <v>180</v>
      </c>
    </row>
    <row r="124" spans="1:4" x14ac:dyDescent="0.3">
      <c r="A124">
        <v>9504</v>
      </c>
      <c r="B124" t="s">
        <v>187</v>
      </c>
      <c r="C124" t="s">
        <v>188</v>
      </c>
      <c r="D124" t="s">
        <v>187</v>
      </c>
    </row>
    <row r="125" spans="1:4" x14ac:dyDescent="0.3">
      <c r="A125">
        <v>9999</v>
      </c>
      <c r="B125" t="s">
        <v>189</v>
      </c>
      <c r="C125" t="s">
        <v>144</v>
      </c>
      <c r="D125" t="s">
        <v>145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A1E84-7532-4755-BC8C-AFDDD71BA221}">
  <dimension ref="B3:E43"/>
  <sheetViews>
    <sheetView tabSelected="1" workbookViewId="0">
      <selection activeCell="G9" sqref="G9"/>
    </sheetView>
  </sheetViews>
  <sheetFormatPr baseColWidth="10" defaultRowHeight="14.4" x14ac:dyDescent="0.3"/>
  <cols>
    <col min="2" max="2" width="41.21875" bestFit="1" customWidth="1"/>
    <col min="3" max="5" width="30.6640625" customWidth="1"/>
  </cols>
  <sheetData>
    <row r="3" spans="2:5" x14ac:dyDescent="0.3">
      <c r="B3" s="1" t="s">
        <v>194</v>
      </c>
      <c r="C3" s="1" t="s">
        <v>195</v>
      </c>
      <c r="D3" s="1" t="s">
        <v>196</v>
      </c>
      <c r="E3" s="1" t="s">
        <v>197</v>
      </c>
    </row>
    <row r="4" spans="2:5" x14ac:dyDescent="0.3">
      <c r="B4" t="str" cm="1">
        <f t="array" ref="B4:B42">_xlfn.UNIQUE(BV!D2:D125)</f>
        <v>Encaisse</v>
      </c>
      <c r="C4" t="s">
        <v>198</v>
      </c>
      <c r="D4" t="s">
        <v>204</v>
      </c>
      <c r="E4" s="2">
        <v>1</v>
      </c>
    </row>
    <row r="5" spans="2:5" x14ac:dyDescent="0.3">
      <c r="B5" t="str">
        <v>Débiteurs</v>
      </c>
      <c r="C5" t="s">
        <v>198</v>
      </c>
      <c r="D5" t="s">
        <v>204</v>
      </c>
      <c r="E5" s="2">
        <v>2</v>
      </c>
    </row>
    <row r="6" spans="2:5" x14ac:dyDescent="0.3">
      <c r="B6" t="str">
        <v>Frais payés d'avance</v>
      </c>
      <c r="C6" t="s">
        <v>198</v>
      </c>
      <c r="D6" t="s">
        <v>204</v>
      </c>
      <c r="E6" s="2">
        <v>3</v>
      </c>
    </row>
    <row r="7" spans="2:5" x14ac:dyDescent="0.3">
      <c r="B7" t="str">
        <v>Avances</v>
      </c>
      <c r="C7" t="s">
        <v>198</v>
      </c>
      <c r="D7" t="s">
        <v>204</v>
      </c>
      <c r="E7" s="2">
        <v>4</v>
      </c>
    </row>
    <row r="8" spans="2:5" x14ac:dyDescent="0.3">
      <c r="B8" t="str">
        <v>Immobilisations corporelles</v>
      </c>
      <c r="C8" t="s">
        <v>198</v>
      </c>
      <c r="D8" t="s">
        <v>205</v>
      </c>
      <c r="E8" s="2">
        <v>1</v>
      </c>
    </row>
    <row r="9" spans="2:5" x14ac:dyDescent="0.3">
      <c r="B9" t="str">
        <v>Produits reportés</v>
      </c>
      <c r="C9" t="s">
        <v>199</v>
      </c>
      <c r="D9" t="s">
        <v>204</v>
      </c>
      <c r="E9" s="2">
        <v>4</v>
      </c>
    </row>
    <row r="10" spans="2:5" x14ac:dyDescent="0.3">
      <c r="B10" t="str">
        <v>Marge de crédit</v>
      </c>
      <c r="C10" t="s">
        <v>199</v>
      </c>
      <c r="D10" t="s">
        <v>204</v>
      </c>
      <c r="E10" s="2">
        <v>1</v>
      </c>
    </row>
    <row r="11" spans="2:5" x14ac:dyDescent="0.3">
      <c r="B11" t="str">
        <v>Créditeurs</v>
      </c>
      <c r="C11" t="s">
        <v>199</v>
      </c>
      <c r="D11" t="s">
        <v>204</v>
      </c>
      <c r="E11" s="2">
        <v>2</v>
      </c>
    </row>
    <row r="12" spans="2:5" x14ac:dyDescent="0.3">
      <c r="B12" t="str">
        <v>Impôts exigibles</v>
      </c>
      <c r="C12" t="s">
        <v>199</v>
      </c>
      <c r="D12" t="s">
        <v>204</v>
      </c>
      <c r="E12" s="2">
        <v>3</v>
      </c>
    </row>
    <row r="13" spans="2:5" x14ac:dyDescent="0.3">
      <c r="B13" t="str">
        <v>Dette à long terme</v>
      </c>
      <c r="C13" t="s">
        <v>199</v>
      </c>
      <c r="D13" t="s">
        <v>205</v>
      </c>
      <c r="E13" s="2">
        <v>1</v>
      </c>
    </row>
    <row r="14" spans="2:5" x14ac:dyDescent="0.3">
      <c r="B14" t="str">
        <v>Bénéfices non répartis</v>
      </c>
      <c r="C14" t="s">
        <v>200</v>
      </c>
      <c r="D14" s="2" t="s">
        <v>206</v>
      </c>
      <c r="E14" s="2">
        <v>2</v>
      </c>
    </row>
    <row r="15" spans="2:5" x14ac:dyDescent="0.3">
      <c r="B15" t="str">
        <v>Capital-action</v>
      </c>
      <c r="C15" t="s">
        <v>200</v>
      </c>
      <c r="D15" s="2" t="s">
        <v>206</v>
      </c>
      <c r="E15" s="2">
        <v>1</v>
      </c>
    </row>
    <row r="16" spans="2:5" x14ac:dyDescent="0.3">
      <c r="B16" t="str">
        <v>Écart d'acquisition</v>
      </c>
      <c r="C16" t="s">
        <v>198</v>
      </c>
      <c r="D16" t="s">
        <v>205</v>
      </c>
      <c r="E16" s="2">
        <v>2</v>
      </c>
    </row>
    <row r="17" spans="2:5" x14ac:dyDescent="0.3">
      <c r="B17" t="str">
        <v>Revenus de développement sur mesure</v>
      </c>
      <c r="C17" t="s">
        <v>201</v>
      </c>
      <c r="D17" t="s">
        <v>206</v>
      </c>
      <c r="E17" s="2">
        <v>1</v>
      </c>
    </row>
    <row r="18" spans="2:5" x14ac:dyDescent="0.3">
      <c r="B18" t="str">
        <v>Revenus de formations</v>
      </c>
      <c r="C18" t="s">
        <v>201</v>
      </c>
      <c r="D18" t="s">
        <v>206</v>
      </c>
      <c r="E18" s="2">
        <v>2</v>
      </c>
    </row>
    <row r="19" spans="2:5" x14ac:dyDescent="0.3">
      <c r="B19" t="str">
        <v>Revenus de ventes de logiciels</v>
      </c>
      <c r="C19" t="s">
        <v>201</v>
      </c>
      <c r="D19" t="s">
        <v>206</v>
      </c>
      <c r="E19" s="2">
        <v>3</v>
      </c>
    </row>
    <row r="20" spans="2:5" x14ac:dyDescent="0.3">
      <c r="B20" t="str">
        <v>Revenus de licences</v>
      </c>
      <c r="C20" t="s">
        <v>201</v>
      </c>
      <c r="D20" t="s">
        <v>206</v>
      </c>
      <c r="E20" s="2">
        <v>4</v>
      </c>
    </row>
    <row r="21" spans="2:5" x14ac:dyDescent="0.3">
      <c r="B21" t="str">
        <v>Main-d'œuvre directe et charges sociales</v>
      </c>
      <c r="C21" t="s">
        <v>202</v>
      </c>
      <c r="D21" t="s">
        <v>206</v>
      </c>
      <c r="E21" s="2">
        <v>1</v>
      </c>
    </row>
    <row r="22" spans="2:5" x14ac:dyDescent="0.3">
      <c r="B22" t="str">
        <v>Salaires administratifs - Jean-Philippe Desormiers</v>
      </c>
      <c r="C22" t="s">
        <v>203</v>
      </c>
      <c r="D22" t="s">
        <v>207</v>
      </c>
      <c r="E22" s="2">
        <v>1</v>
      </c>
    </row>
    <row r="23" spans="2:5" x14ac:dyDescent="0.3">
      <c r="B23" t="str">
        <v>Salaires administratifs - Patrick Julien</v>
      </c>
      <c r="C23" t="s">
        <v>203</v>
      </c>
      <c r="D23" t="s">
        <v>207</v>
      </c>
      <c r="E23" s="2">
        <v>2</v>
      </c>
    </row>
    <row r="24" spans="2:5" x14ac:dyDescent="0.3">
      <c r="B24" t="str">
        <v>Salaires administratifs - Autres</v>
      </c>
      <c r="C24" t="s">
        <v>203</v>
      </c>
      <c r="D24" t="s">
        <v>207</v>
      </c>
      <c r="E24" s="2">
        <v>3</v>
      </c>
    </row>
    <row r="25" spans="2:5" x14ac:dyDescent="0.3">
      <c r="B25" t="str">
        <v>Intérêts et frais bancaires</v>
      </c>
      <c r="C25" t="s">
        <v>203</v>
      </c>
      <c r="D25" t="s">
        <v>208</v>
      </c>
      <c r="E25" s="2">
        <v>1</v>
      </c>
    </row>
    <row r="26" spans="2:5" x14ac:dyDescent="0.3">
      <c r="B26" t="str">
        <v>Sous-traitance</v>
      </c>
      <c r="C26" t="s">
        <v>202</v>
      </c>
      <c r="D26" t="s">
        <v>206</v>
      </c>
      <c r="E26" s="2">
        <v>2</v>
      </c>
    </row>
    <row r="27" spans="2:5" x14ac:dyDescent="0.3">
      <c r="B27" t="str">
        <v>Loyer</v>
      </c>
      <c r="C27" t="s">
        <v>203</v>
      </c>
      <c r="D27" t="s">
        <v>207</v>
      </c>
      <c r="E27" s="2">
        <v>4</v>
      </c>
    </row>
    <row r="28" spans="2:5" x14ac:dyDescent="0.3">
      <c r="B28" t="str">
        <v>Entretien et réparations</v>
      </c>
      <c r="C28" t="s">
        <v>203</v>
      </c>
      <c r="D28" t="s">
        <v>207</v>
      </c>
      <c r="E28" s="2">
        <v>5</v>
      </c>
    </row>
    <row r="29" spans="2:5" x14ac:dyDescent="0.3">
      <c r="B29" t="str">
        <v>Télécommunications</v>
      </c>
      <c r="C29" t="s">
        <v>203</v>
      </c>
      <c r="D29" t="s">
        <v>207</v>
      </c>
      <c r="E29" s="2">
        <v>6</v>
      </c>
    </row>
    <row r="30" spans="2:5" x14ac:dyDescent="0.3">
      <c r="B30" t="str">
        <v>Assurances</v>
      </c>
      <c r="C30" t="s">
        <v>203</v>
      </c>
      <c r="D30" t="s">
        <v>207</v>
      </c>
      <c r="E30" s="2">
        <v>7</v>
      </c>
    </row>
    <row r="31" spans="2:5" x14ac:dyDescent="0.3">
      <c r="B31" t="str">
        <v>Frais informatiques</v>
      </c>
      <c r="C31" t="s">
        <v>203</v>
      </c>
      <c r="D31" t="s">
        <v>207</v>
      </c>
      <c r="E31" s="2">
        <v>8</v>
      </c>
    </row>
    <row r="32" spans="2:5" x14ac:dyDescent="0.3">
      <c r="B32" t="str">
        <v>Marketing</v>
      </c>
      <c r="C32" t="s">
        <v>203</v>
      </c>
      <c r="D32" t="s">
        <v>207</v>
      </c>
      <c r="E32" s="2">
        <v>9</v>
      </c>
    </row>
    <row r="33" spans="2:5" x14ac:dyDescent="0.3">
      <c r="B33" t="str">
        <v>Honoraires professionnels</v>
      </c>
      <c r="C33" t="s">
        <v>203</v>
      </c>
      <c r="D33" t="s">
        <v>207</v>
      </c>
      <c r="E33" s="2">
        <v>10</v>
      </c>
    </row>
    <row r="34" spans="2:5" x14ac:dyDescent="0.3">
      <c r="B34" t="str">
        <v>Formation</v>
      </c>
      <c r="C34" t="s">
        <v>203</v>
      </c>
      <c r="D34" t="s">
        <v>207</v>
      </c>
      <c r="E34" s="2">
        <v>11</v>
      </c>
    </row>
    <row r="35" spans="2:5" x14ac:dyDescent="0.3">
      <c r="B35" t="str">
        <v>Frais de déplacements</v>
      </c>
      <c r="C35" t="s">
        <v>203</v>
      </c>
      <c r="D35" t="s">
        <v>207</v>
      </c>
      <c r="E35" s="2">
        <v>12</v>
      </c>
    </row>
    <row r="36" spans="2:5" x14ac:dyDescent="0.3">
      <c r="B36" t="str">
        <v>Fournitures de bureau et papeterie</v>
      </c>
      <c r="C36" t="s">
        <v>203</v>
      </c>
      <c r="D36" t="s">
        <v>207</v>
      </c>
      <c r="E36" s="2">
        <v>13</v>
      </c>
    </row>
    <row r="37" spans="2:5" x14ac:dyDescent="0.3">
      <c r="B37" t="str">
        <v>Frais de représentation</v>
      </c>
      <c r="C37" t="s">
        <v>203</v>
      </c>
      <c r="D37" t="s">
        <v>207</v>
      </c>
      <c r="E37" s="2">
        <v>14</v>
      </c>
    </row>
    <row r="38" spans="2:5" x14ac:dyDescent="0.3">
      <c r="B38" t="str">
        <v>Mauvaises créances</v>
      </c>
      <c r="C38" t="s">
        <v>203</v>
      </c>
      <c r="D38" t="s">
        <v>207</v>
      </c>
      <c r="E38" s="2">
        <v>15</v>
      </c>
    </row>
    <row r="39" spans="2:5" x14ac:dyDescent="0.3">
      <c r="B39" t="str">
        <v>Amortissement des immobilisations corporelles</v>
      </c>
      <c r="C39" t="s">
        <v>203</v>
      </c>
      <c r="D39" t="s">
        <v>207</v>
      </c>
      <c r="E39" s="2">
        <v>16</v>
      </c>
    </row>
    <row r="40" spans="2:5" x14ac:dyDescent="0.3">
      <c r="B40" t="str">
        <v>Intérêts sur la dette à long terme</v>
      </c>
      <c r="C40" t="s">
        <v>203</v>
      </c>
      <c r="D40" t="s">
        <v>208</v>
      </c>
      <c r="E40" s="2">
        <v>2</v>
      </c>
    </row>
    <row r="41" spans="2:5" x14ac:dyDescent="0.3">
      <c r="B41" t="str">
        <v>Impôts</v>
      </c>
      <c r="C41" t="s">
        <v>185</v>
      </c>
      <c r="D41" t="s">
        <v>206</v>
      </c>
      <c r="E41" s="2">
        <v>1</v>
      </c>
    </row>
    <row r="42" spans="2:5" x14ac:dyDescent="0.3">
      <c r="B42" t="str">
        <v>Honoraires de garantie IQ</v>
      </c>
      <c r="C42" t="s">
        <v>203</v>
      </c>
      <c r="D42" t="s">
        <v>208</v>
      </c>
      <c r="E42" s="2">
        <v>3</v>
      </c>
    </row>
    <row r="43" spans="2:5" x14ac:dyDescent="0.3">
      <c r="E4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BV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Bellerose</dc:creator>
  <cp:lastModifiedBy>tristan bellerose</cp:lastModifiedBy>
  <cp:lastPrinted>2025-10-19T15:39:58Z</cp:lastPrinted>
  <dcterms:created xsi:type="dcterms:W3CDTF">2015-06-05T18:17:20Z</dcterms:created>
  <dcterms:modified xsi:type="dcterms:W3CDTF">2025-10-19T17:59:05Z</dcterms:modified>
</cp:coreProperties>
</file>